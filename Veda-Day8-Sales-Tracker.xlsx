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-Entries" sheetId="1" r:id="rId5"/>
    <sheet state="visible" name="Summary-Dashboard" sheetId="2" r:id="rId6"/>
  </sheets>
  <definedNames/>
  <calcPr/>
</workbook>
</file>

<file path=xl/sharedStrings.xml><?xml version="1.0" encoding="utf-8"?>
<sst xmlns="http://schemas.openxmlformats.org/spreadsheetml/2006/main" count="21" uniqueCount="21">
  <si>
    <t>Metric</t>
  </si>
  <si>
    <t>Date</t>
  </si>
  <si>
    <t>Total Sales</t>
  </si>
  <si>
    <t>Daily Total</t>
  </si>
  <si>
    <t>Transaction ID</t>
  </si>
  <si>
    <t>Representative</t>
  </si>
  <si>
    <t>Product Category</t>
  </si>
  <si>
    <t>Units Sold</t>
  </si>
  <si>
    <t>Unit Price</t>
  </si>
  <si>
    <t>Total Amount</t>
  </si>
  <si>
    <t>TX001</t>
  </si>
  <si>
    <t>Alice</t>
  </si>
  <si>
    <t>Electronics</t>
  </si>
  <si>
    <t>TX003</t>
  </si>
  <si>
    <t>Charlie</t>
  </si>
  <si>
    <t>Home Goods</t>
  </si>
  <si>
    <t>August Total</t>
  </si>
  <si>
    <t>TX002</t>
  </si>
  <si>
    <t>Bob</t>
  </si>
  <si>
    <t>Clothing</t>
  </si>
  <si>
    <t>Weekly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</si>
</sst>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>
      <c r="A2" s="3">
        <v>46265.0</v>
      </c>
      <c r="B2" s="1" t="s">
        <v>10</v>
      </c>
      <c r="C2" s="1" t="s">
        <v>11</v>
      </c>
      <c r="D2" s="1" t="s">
        <v>12</v>
      </c>
      <c r="E2" s="1">
        <v>2.0</v>
      </c>
      <c r="F2" s="1">
        <v>150.0</v>
      </c>
      <c r="G2" s="1">
        <f t="shared" ref="G2:G4" si="1">E2*F2</f>
        <v>300</v>
      </c>
    </row>
    <row r="3">
      <c r="A3" s="3">
        <v>46249.0</v>
      </c>
      <c r="B3" s="1" t="s">
        <v>13</v>
      </c>
      <c r="C3" s="1" t="s">
        <v>14</v>
      </c>
      <c r="D3" s="1" t="s">
        <v>15</v>
      </c>
      <c r="E3" s="1">
        <v>1.0</v>
      </c>
      <c r="F3" s="1">
        <v>500.0</v>
      </c>
      <c r="G3" s="1">
        <f t="shared" si="1"/>
        <v>500</v>
      </c>
    </row>
    <row r="4">
      <c r="A4" s="3">
        <v>46264.0</v>
      </c>
      <c r="B4" s="1" t="s">
        <v>17</v>
      </c>
      <c r="C4" s="1" t="s">
        <v>18</v>
      </c>
      <c r="D4" s="1" t="s">
        <v>19</v>
      </c>
      <c r="E4" s="1">
        <v>5.0</v>
      </c>
      <c r="F4" s="1">
        <v>20.0</v>
      </c>
      <c r="G4" s="1">
        <f t="shared" si="1"/>
        <v>100</v>
      </c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</sheetData>
  <dataValidations>
    <dataValidation type="list" allowBlank="1" showErrorMessage="1" sqref="D2:D20">
      <formula1>"Electronics,Clothing,Home Goods"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3</v>
      </c>
      <c r="B2" s="4">
        <f>SUMIFS('Sales-Entries'!G:G, 'Sales-Entries'!A:A, TODAY())</f>
        <v>300</v>
      </c>
    </row>
    <row r="3">
      <c r="A3" s="1" t="s">
        <v>16</v>
      </c>
      <c r="B3" s="4">
        <f>SUMIFS('Sales-Entries'!G:G, 'Sales-Entries'!A:A, "&gt;="&amp;DATE(2026,8,1), 'Sales-Entries'!A:A, "&lt;="&amp;DATE(2026,8,31))</f>
        <v>900</v>
      </c>
    </row>
    <row r="4">
      <c r="A4" s="1" t="s">
        <v>20</v>
      </c>
      <c r="B4" s="4">
        <f>SUMIFS('Sales-Entries'!G:G, 'Sales-Entries'!A:A, "&gt;="&amp;TODAY()-7, 'Sales-Entries'!A:A, "&lt;="&amp;TODAY())</f>
        <v>400</v>
      </c>
    </row>
  </sheetData>
  <drawing r:id="rId1"/>
</worksheet>
</file>